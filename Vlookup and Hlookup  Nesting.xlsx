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Assignment\"/>
    </mc:Choice>
  </mc:AlternateContent>
  <xr:revisionPtr revIDLastSave="0" documentId="13_ncr:1_{3F86168F-0E66-4C7A-BA39-73F74B8DD87A}" xr6:coauthVersionLast="47" xr6:coauthVersionMax="47" xr10:uidLastSave="{00000000-0000-0000-0000-000000000000}"/>
  <bookViews>
    <workbookView xWindow="-120" yWindow="-120" windowWidth="20730" windowHeight="11040" activeTab="1" xr2:uid="{FF854187-996F-48E8-B937-17E799283944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2" l="1"/>
  <c r="G29" i="2"/>
  <c r="D28" i="2"/>
  <c r="C25" i="1"/>
  <c r="I19" i="1"/>
  <c r="C19" i="1"/>
</calcChain>
</file>

<file path=xl/sharedStrings.xml><?xml version="1.0" encoding="utf-8"?>
<sst xmlns="http://schemas.openxmlformats.org/spreadsheetml/2006/main" count="209" uniqueCount="73">
  <si>
    <t xml:space="preserve">Name </t>
  </si>
  <si>
    <t>Dept_ID</t>
  </si>
  <si>
    <t>Class_Teacher</t>
  </si>
  <si>
    <t>Dpt_ID</t>
  </si>
  <si>
    <t>HOD</t>
  </si>
  <si>
    <t>Dept_Name</t>
  </si>
  <si>
    <t>Major_sub</t>
  </si>
  <si>
    <t>Credit</t>
  </si>
  <si>
    <t>Duration</t>
  </si>
  <si>
    <t>Rahul</t>
  </si>
  <si>
    <t>Abhisek</t>
  </si>
  <si>
    <t>Keshav</t>
  </si>
  <si>
    <t>Bob</t>
  </si>
  <si>
    <t>John smith</t>
  </si>
  <si>
    <t>Raj</t>
  </si>
  <si>
    <t>Aman</t>
  </si>
  <si>
    <t>Neha</t>
  </si>
  <si>
    <t>D001</t>
  </si>
  <si>
    <t>D002</t>
  </si>
  <si>
    <t>D003</t>
  </si>
  <si>
    <t>D004</t>
  </si>
  <si>
    <t>D005</t>
  </si>
  <si>
    <t>D006</t>
  </si>
  <si>
    <t>D007</t>
  </si>
  <si>
    <t>D008</t>
  </si>
  <si>
    <t>Suman Joshi</t>
  </si>
  <si>
    <t>Aditi Malhotra</t>
  </si>
  <si>
    <t>Neelam Tiwari</t>
  </si>
  <si>
    <t>Anand Kumar</t>
  </si>
  <si>
    <t>Shalini Verma</t>
  </si>
  <si>
    <t>Pankaj Tripathi</t>
  </si>
  <si>
    <t>Varsha Gupta</t>
  </si>
  <si>
    <t>Kanti devi</t>
  </si>
  <si>
    <t>Dr. Ritu Saxena</t>
  </si>
  <si>
    <t>Prof. Mahesh Kapoor</t>
  </si>
  <si>
    <t>Dr. Anupama Sharma</t>
  </si>
  <si>
    <t>Prof. Kunal Verma</t>
  </si>
  <si>
    <t>Dr. Nidhi Tiwari</t>
  </si>
  <si>
    <t>Prof. Santosh Chauhan</t>
  </si>
  <si>
    <t>Dr. Meera Agrawal</t>
  </si>
  <si>
    <t>Prof. Arvind Kashyap</t>
  </si>
  <si>
    <t>Computer Science</t>
  </si>
  <si>
    <t>Information Technology</t>
  </si>
  <si>
    <t>Mechanical Engineering</t>
  </si>
  <si>
    <t>Electrical Engineering</t>
  </si>
  <si>
    <t>Civil Engineering</t>
  </si>
  <si>
    <t>Electronics &amp; Communication</t>
  </si>
  <si>
    <t>Biotechnology</t>
  </si>
  <si>
    <t>Data Structures</t>
  </si>
  <si>
    <t>Algorithms</t>
  </si>
  <si>
    <t>Operating Systems</t>
  </si>
  <si>
    <t>Database Management System (DBMS)</t>
  </si>
  <si>
    <t>Computer Networks</t>
  </si>
  <si>
    <t>Software Engineering</t>
  </si>
  <si>
    <t>Artificial Intelligence</t>
  </si>
  <si>
    <t>Machine Learning</t>
  </si>
  <si>
    <t>AI</t>
  </si>
  <si>
    <t>3 Year</t>
  </si>
  <si>
    <t>2 Year</t>
  </si>
  <si>
    <t>4 Year</t>
  </si>
  <si>
    <t>3 year</t>
  </si>
  <si>
    <t>5 year</t>
  </si>
  <si>
    <t>Name</t>
  </si>
  <si>
    <t xml:space="preserve">  </t>
  </si>
  <si>
    <t>Duration of any Student by Vlookup</t>
  </si>
  <si>
    <t>HoD</t>
  </si>
  <si>
    <t>HOD of any Student By Vlookup</t>
  </si>
  <si>
    <t>Duration of any Student by Hlookp</t>
  </si>
  <si>
    <t>HOD Name</t>
  </si>
  <si>
    <t>Find Major_sub by Dept_ID  By Hlookup</t>
  </si>
  <si>
    <t>The Major_subject of  Dept_ID by Vlookup</t>
  </si>
  <si>
    <t xml:space="preserve">School Data </t>
  </si>
  <si>
    <t>School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</si>
</sst>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24"/>
      <color theme="6" tint="-0.499984740745262"/>
      <name val="Calibri"/>
      <family val="2"/>
      <scheme val="minor"/>
    </font>
    <font>
      <b/>
      <i/>
      <sz val="20"/>
      <color rgb="FFFFC00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9" xfId="0" applyBorder="1"/>
    <xf numFmtId="0" fontId="1" fillId="0" borderId="2" xfId="0" applyFont="1" applyBorder="1"/>
    <xf numFmtId="0" fontId="1" fillId="0" borderId="7" xfId="0" applyFont="1" applyBorder="1"/>
    <xf numFmtId="0" fontId="0" fillId="0" borderId="8" xfId="0" applyBorder="1"/>
    <xf numFmtId="164" fontId="0" fillId="0" borderId="0" xfId="0" applyNumberFormat="1"/>
    <xf numFmtId="164" fontId="0" fillId="0" borderId="1" xfId="0" applyNumberFormat="1" applyBorder="1"/>
    <xf numFmtId="0" fontId="0" fillId="2" borderId="2" xfId="0" applyFill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1" xfId="0" applyBorder="1"/>
    <xf numFmtId="0" fontId="2" fillId="3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164" fontId="0" fillId="2" borderId="1" xfId="0" applyNumberFormat="1" applyFill="1" applyBorder="1"/>
    <xf numFmtId="0" fontId="0" fillId="5" borderId="1" xfId="0" applyFill="1" applyBorder="1"/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4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 [$₹-439]* #,##0.00_ ;_ [$₹-439]* \-#,##0.00_ ;_ [$₹-439]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A67FF-73F8-4E10-BB12-6F430ECC296A}" name="Table1" displayName="Table1" ref="A5:C13" totalsRowShown="0" headerRowBorderDxfId="47" tableBorderDxfId="46" totalsRowBorderDxfId="45">
  <autoFilter ref="A5:C13" xr:uid="{54EA67FF-73F8-4E10-BB12-6F430ECC296A}"/>
  <tableColumns count="3">
    <tableColumn id="1" xr3:uid="{18A0A6C0-745D-48CC-A115-35FEFAC02BC5}" name="Name " dataDxfId="44"/>
    <tableColumn id="2" xr3:uid="{4376EB58-991A-4FBD-90F3-31C06DE8A5A8}" name="Dept_ID" dataDxfId="43"/>
    <tableColumn id="3" xr3:uid="{4F81F492-55B4-4C62-96B6-DD33B93EC016}" name="Class_Teacher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02E7B-0386-47D3-863F-68DE7597F9EA}" name="Table2" displayName="Table2" ref="G5:H13" totalsRowShown="0" headerRowDxfId="41" headerRowBorderDxfId="40" tableBorderDxfId="39" totalsRowBorderDxfId="38">
  <autoFilter ref="G5:H13" xr:uid="{0AE02E7B-0386-47D3-863F-68DE7597F9EA}"/>
  <tableColumns count="2">
    <tableColumn id="1" xr3:uid="{75702084-0721-498A-A0EC-A3B9904A010E}" name="Dpt_ID" dataDxfId="37"/>
    <tableColumn id="2" xr3:uid="{338C4194-898D-407F-8314-71BB47D87668}" name="HOD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B7601D-91A9-4BED-9003-4F6410A00170}" name="Table3" displayName="Table3" ref="J5:L13" totalsRowShown="0" headerRowBorderDxfId="35" tableBorderDxfId="34" totalsRowBorderDxfId="33">
  <autoFilter ref="J5:L13" xr:uid="{59B7601D-91A9-4BED-9003-4F6410A00170}"/>
  <tableColumns count="3">
    <tableColumn id="1" xr3:uid="{C47BCE9A-8943-4FB3-9111-B39C6A78A840}" name="HOD" dataDxfId="32"/>
    <tableColumn id="2" xr3:uid="{D93954CA-70CC-4D56-AF35-70026E9488AA}" name="Dept_Name" dataDxfId="31"/>
    <tableColumn id="3" xr3:uid="{358FE3EE-674B-4B12-8B70-7EACCCEF977C}" name="Major_sub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B72AE0-15C2-4CE1-9BA4-A6C891AEB139}" name="Table4" displayName="Table4" ref="P5:R13" totalsRowShown="0" headerRowBorderDxfId="29" tableBorderDxfId="28" totalsRowBorderDxfId="27">
  <autoFilter ref="P5:R13" xr:uid="{ADB72AE0-15C2-4CE1-9BA4-A6C891AEB139}"/>
  <tableColumns count="3">
    <tableColumn id="1" xr3:uid="{556A531D-7FE9-4807-ACEA-77031C022823}" name="Major_sub" dataDxfId="26"/>
    <tableColumn id="2" xr3:uid="{B6800FD3-E3EC-45FB-B760-312716B5FF7D}" name="Credit" dataDxfId="25"/>
    <tableColumn id="3" xr3:uid="{2943FDDB-2364-4A0D-8A93-0E7FD839AAB9}" name="Duration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C0BB6E-9D76-4092-9F01-69E9C809242D}" name="Table5" displayName="Table5" ref="B18:C19" totalsRowShown="0" headerRowDxfId="23" headerRowBorderDxfId="22" tableBorderDxfId="21" totalsRowBorderDxfId="20">
  <autoFilter ref="B18:C19" xr:uid="{17C0BB6E-9D76-4092-9F01-69E9C809242D}"/>
  <tableColumns count="2">
    <tableColumn id="1" xr3:uid="{8E8560A6-CD91-436E-8138-B3AAF6ED09E1}" name="Name " dataDxfId="19"/>
    <tableColumn id="2" xr3:uid="{DE5C2B32-CD7C-4EB5-95D4-DA244B31D2AA}" name="Duration" dataDxfId="18">
      <calculatedColumnFormula>VLOOKUP(VLOOKUP(VLOOKUP(VLOOKUP(B19,Table1[#All],2,0),Table2[#All],2,0),Table3[#All],3,0),Table4[#All],3,0)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C83866-2C13-4A48-8706-C56FF9778097}" name="Table6" displayName="Table6" ref="H18:I19" totalsRowShown="0" headerRowDxfId="17" headerRowBorderDxfId="16" tableBorderDxfId="15" totalsRowBorderDxfId="14">
  <autoFilter ref="H18:I19" xr:uid="{4BC83866-2C13-4A48-8706-C56FF9778097}"/>
  <tableColumns count="2">
    <tableColumn id="1" xr3:uid="{44502654-A46B-494B-9218-5CD8FCEDCAA2}" name="Name" dataDxfId="13"/>
    <tableColumn id="2" xr3:uid="{16101074-C5D9-4B11-8A0B-166897563A19}" name="HoD" dataDxfId="12">
      <calculatedColumnFormula>VLOOKUP(VLOOKUP(H19,Table1[#All],2,0),Table2[#All],2,0)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28820F-B087-4124-AC33-DDC2F6C219BC}" name="Table7" displayName="Table7" ref="B24:C25" totalsRowShown="0" headerRowDxfId="11" headerRowBorderDxfId="10" tableBorderDxfId="9" totalsRowBorderDxfId="8">
  <autoFilter ref="B24:C25" xr:uid="{F528820F-B087-4124-AC33-DDC2F6C219BC}"/>
  <tableColumns count="2">
    <tableColumn id="1" xr3:uid="{48F562D7-7C63-4984-9716-1E1D37308627}" name="Dept_ID" dataDxfId="7"/>
    <tableColumn id="2" xr3:uid="{B26DCAFE-64EB-41BD-A583-924CD924F2A0}" name="Major_sub" dataDxfId="6">
      <calculatedColumnFormula>VLOOKUP(VLOOKUP(B25,Table2[#All],2,0),Table3[#All],3,0)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707D0F-C7BF-4710-88A2-58313394EC54}" name="Table10" displayName="Table10" ref="F27:G28" insertRow="1" insertRowShift="1" totalsRowShown="0" headerRowDxfId="5">
  <autoFilter ref="F27:G28" xr:uid="{FA707D0F-C7BF-4710-88A2-58313394EC54}"/>
  <tableColumns count="2">
    <tableColumn id="1" xr3:uid="{D631E890-860D-434B-A593-9B0D992CF010}" name="Name" dataDxfId="4"/>
    <tableColumn id="2" xr3:uid="{16F558F2-9970-4985-B789-967B7A8D9934}" name="HOD Name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4DABBF-5541-4271-AA0B-25507D04E818}" name="Table11" displayName="Table11" ref="D34:E35" insertRow="1" insertRowShift="1" totalsRowShown="0" headerRowDxfId="2">
  <autoFilter ref="D34:E35" xr:uid="{FD4DABBF-5541-4271-AA0B-25507D04E818}"/>
  <tableColumns count="2">
    <tableColumn id="1" xr3:uid="{3D89D4D2-0DF3-429E-824C-A8844D85D59F}" name="Dept_ID" dataDxfId="1"/>
    <tableColumn id="2" xr3:uid="{12261C8F-CA8F-4B5A-A101-E0235757E586}" name="Major_su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6D04-F81C-4C1A-B341-581EAB0614A1}">
  <sheetPr codeName="Sheet1"/>
  <dimension ref="A1:R25"/>
  <sheetViews>
    <sheetView workbookViewId="0">
      <selection activeCell="I4" sqref="I4"/>
    </sheetView>
  </sheetViews>
  <sheetFormatPr defaultRowHeight="15" x14ac:dyDescent="0.25"/>
  <cols>
    <col min="1" max="1" width="10.5703125" bestFit="1" customWidth="1"/>
    <col min="2" max="2" width="10.42578125" bestFit="1" customWidth="1"/>
    <col min="3" max="3" width="20.28515625" bestFit="1" customWidth="1"/>
    <col min="5" max="5" width="12.5703125" customWidth="1"/>
    <col min="7" max="7" width="9.28515625" bestFit="1" customWidth="1"/>
    <col min="8" max="8" width="21.140625" bestFit="1" customWidth="1"/>
    <col min="9" max="9" width="19.7109375" bestFit="1" customWidth="1"/>
    <col min="10" max="10" width="21.140625" bestFit="1" customWidth="1"/>
    <col min="11" max="11" width="27.5703125" bestFit="1" customWidth="1"/>
    <col min="12" max="12" width="36" bestFit="1" customWidth="1"/>
    <col min="16" max="16" width="36" bestFit="1" customWidth="1"/>
    <col min="17" max="17" width="11.140625" style="16" bestFit="1" customWidth="1"/>
    <col min="18" max="18" width="11" bestFit="1" customWidth="1"/>
  </cols>
  <sheetData>
    <row r="1" spans="1:18" x14ac:dyDescent="0.25">
      <c r="D1" s="31" t="s">
        <v>71</v>
      </c>
      <c r="E1" s="31"/>
      <c r="F1" s="31"/>
      <c r="G1" s="31"/>
      <c r="H1" s="31"/>
      <c r="I1" s="31"/>
    </row>
    <row r="2" spans="1:18" x14ac:dyDescent="0.25">
      <c r="D2" s="31"/>
      <c r="E2" s="31"/>
      <c r="F2" s="31"/>
      <c r="G2" s="31"/>
      <c r="H2" s="31"/>
      <c r="I2" s="31"/>
    </row>
    <row r="5" spans="1:18" x14ac:dyDescent="0.25">
      <c r="A5" s="6" t="s">
        <v>0</v>
      </c>
      <c r="B5" s="7" t="s">
        <v>1</v>
      </c>
      <c r="C5" s="8" t="s">
        <v>2</v>
      </c>
      <c r="G5" s="6" t="s">
        <v>3</v>
      </c>
      <c r="H5" s="8" t="s">
        <v>4</v>
      </c>
      <c r="J5" s="6" t="s">
        <v>4</v>
      </c>
      <c r="K5" s="7" t="s">
        <v>5</v>
      </c>
      <c r="L5" s="8" t="s">
        <v>6</v>
      </c>
      <c r="P5" s="6" t="s">
        <v>6</v>
      </c>
      <c r="Q5" s="19" t="s">
        <v>7</v>
      </c>
      <c r="R5" s="8" t="s">
        <v>8</v>
      </c>
    </row>
    <row r="6" spans="1:18" x14ac:dyDescent="0.25">
      <c r="A6" s="3" t="s">
        <v>9</v>
      </c>
      <c r="B6" s="2" t="s">
        <v>17</v>
      </c>
      <c r="C6" s="5" t="s">
        <v>25</v>
      </c>
      <c r="G6" s="3" t="s">
        <v>17</v>
      </c>
      <c r="H6" s="5" t="s">
        <v>33</v>
      </c>
      <c r="J6" s="13" t="s">
        <v>33</v>
      </c>
      <c r="K6" s="2" t="s">
        <v>41</v>
      </c>
      <c r="L6" s="4" t="s">
        <v>48</v>
      </c>
      <c r="P6" s="18" t="s">
        <v>48</v>
      </c>
      <c r="Q6" s="17">
        <v>50000</v>
      </c>
      <c r="R6" s="4" t="s">
        <v>57</v>
      </c>
    </row>
    <row r="7" spans="1:18" x14ac:dyDescent="0.25">
      <c r="A7" s="3" t="s">
        <v>10</v>
      </c>
      <c r="B7" s="2" t="s">
        <v>18</v>
      </c>
      <c r="C7" s="5" t="s">
        <v>26</v>
      </c>
      <c r="G7" s="3" t="s">
        <v>18</v>
      </c>
      <c r="H7" s="5" t="s">
        <v>34</v>
      </c>
      <c r="J7" s="13" t="s">
        <v>34</v>
      </c>
      <c r="K7" s="2" t="s">
        <v>42</v>
      </c>
      <c r="L7" s="4" t="s">
        <v>49</v>
      </c>
      <c r="P7" s="3" t="s">
        <v>49</v>
      </c>
      <c r="Q7" s="17">
        <v>45000</v>
      </c>
      <c r="R7" s="4" t="s">
        <v>58</v>
      </c>
    </row>
    <row r="8" spans="1:18" x14ac:dyDescent="0.25">
      <c r="A8" s="3" t="s">
        <v>11</v>
      </c>
      <c r="B8" s="2" t="s">
        <v>19</v>
      </c>
      <c r="C8" s="5" t="s">
        <v>27</v>
      </c>
      <c r="G8" s="3" t="s">
        <v>19</v>
      </c>
      <c r="H8" s="5" t="s">
        <v>35</v>
      </c>
      <c r="J8" s="13" t="s">
        <v>35</v>
      </c>
      <c r="K8" s="2" t="s">
        <v>43</v>
      </c>
      <c r="L8" s="4" t="s">
        <v>50</v>
      </c>
      <c r="P8" s="18" t="s">
        <v>50</v>
      </c>
      <c r="Q8" s="17">
        <v>43000</v>
      </c>
      <c r="R8" s="4" t="s">
        <v>59</v>
      </c>
    </row>
    <row r="9" spans="1:18" x14ac:dyDescent="0.25">
      <c r="A9" s="3" t="s">
        <v>12</v>
      </c>
      <c r="B9" s="2" t="s">
        <v>20</v>
      </c>
      <c r="C9" s="5" t="s">
        <v>28</v>
      </c>
      <c r="G9" s="3" t="s">
        <v>20</v>
      </c>
      <c r="H9" s="5" t="s">
        <v>36</v>
      </c>
      <c r="J9" s="13" t="s">
        <v>36</v>
      </c>
      <c r="K9" s="2" t="s">
        <v>44</v>
      </c>
      <c r="L9" s="4" t="s">
        <v>51</v>
      </c>
      <c r="P9" s="3" t="s">
        <v>51</v>
      </c>
      <c r="Q9" s="17">
        <v>63000</v>
      </c>
      <c r="R9" s="4" t="s">
        <v>60</v>
      </c>
    </row>
    <row r="10" spans="1:18" x14ac:dyDescent="0.25">
      <c r="A10" s="3" t="s">
        <v>13</v>
      </c>
      <c r="B10" s="2" t="s">
        <v>21</v>
      </c>
      <c r="C10" s="5" t="s">
        <v>29</v>
      </c>
      <c r="G10" s="3" t="s">
        <v>21</v>
      </c>
      <c r="H10" s="5" t="s">
        <v>37</v>
      </c>
      <c r="J10" s="13" t="s">
        <v>37</v>
      </c>
      <c r="K10" s="2" t="s">
        <v>45</v>
      </c>
      <c r="L10" s="4" t="s">
        <v>52</v>
      </c>
      <c r="P10" s="18" t="s">
        <v>52</v>
      </c>
      <c r="Q10" s="17">
        <v>75000</v>
      </c>
      <c r="R10" s="4" t="s">
        <v>59</v>
      </c>
    </row>
    <row r="11" spans="1:18" x14ac:dyDescent="0.25">
      <c r="A11" s="3" t="s">
        <v>14</v>
      </c>
      <c r="B11" s="2" t="s">
        <v>22</v>
      </c>
      <c r="C11" s="5" t="s">
        <v>30</v>
      </c>
      <c r="E11" t="s">
        <v>63</v>
      </c>
      <c r="G11" s="3" t="s">
        <v>22</v>
      </c>
      <c r="H11" s="5" t="s">
        <v>38</v>
      </c>
      <c r="J11" s="13" t="s">
        <v>38</v>
      </c>
      <c r="K11" s="2" t="s">
        <v>46</v>
      </c>
      <c r="L11" s="4" t="s">
        <v>53</v>
      </c>
      <c r="P11" s="3" t="s">
        <v>53</v>
      </c>
      <c r="Q11" s="17">
        <v>65000</v>
      </c>
      <c r="R11" s="4" t="s">
        <v>61</v>
      </c>
    </row>
    <row r="12" spans="1:18" x14ac:dyDescent="0.25">
      <c r="A12" s="3" t="s">
        <v>15</v>
      </c>
      <c r="B12" s="2" t="s">
        <v>23</v>
      </c>
      <c r="C12" s="5" t="s">
        <v>31</v>
      </c>
      <c r="G12" s="3" t="s">
        <v>23</v>
      </c>
      <c r="H12" s="5" t="s">
        <v>39</v>
      </c>
      <c r="J12" s="13" t="s">
        <v>39</v>
      </c>
      <c r="K12" s="2" t="s">
        <v>47</v>
      </c>
      <c r="L12" s="4" t="s">
        <v>54</v>
      </c>
      <c r="P12" s="18" t="s">
        <v>54</v>
      </c>
      <c r="Q12" s="17">
        <v>72000</v>
      </c>
      <c r="R12" s="4" t="s">
        <v>57</v>
      </c>
    </row>
    <row r="13" spans="1:18" x14ac:dyDescent="0.25">
      <c r="A13" s="9" t="s">
        <v>16</v>
      </c>
      <c r="B13" s="10" t="s">
        <v>24</v>
      </c>
      <c r="C13" s="11" t="s">
        <v>32</v>
      </c>
      <c r="G13" s="9" t="s">
        <v>24</v>
      </c>
      <c r="H13" s="11" t="s">
        <v>40</v>
      </c>
      <c r="J13" s="14" t="s">
        <v>40</v>
      </c>
      <c r="K13" s="15" t="s">
        <v>56</v>
      </c>
      <c r="L13" s="12" t="s">
        <v>55</v>
      </c>
      <c r="P13" s="9" t="s">
        <v>55</v>
      </c>
      <c r="Q13" s="20">
        <v>45300</v>
      </c>
      <c r="R13" s="12" t="s">
        <v>59</v>
      </c>
    </row>
    <row r="14" spans="1:18" x14ac:dyDescent="0.25">
      <c r="H14" s="1"/>
    </row>
    <row r="17" spans="1:9" x14ac:dyDescent="0.25">
      <c r="A17" s="27" t="s">
        <v>64</v>
      </c>
      <c r="B17" s="28"/>
      <c r="C17" s="28"/>
      <c r="D17" s="27"/>
      <c r="G17" s="27" t="s">
        <v>66</v>
      </c>
      <c r="H17" s="27"/>
      <c r="I17" s="27"/>
    </row>
    <row r="18" spans="1:9" x14ac:dyDescent="0.25">
      <c r="B18" s="6" t="s">
        <v>0</v>
      </c>
      <c r="C18" s="8" t="s">
        <v>8</v>
      </c>
      <c r="H18" s="6" t="s">
        <v>62</v>
      </c>
      <c r="I18" s="8" t="s">
        <v>65</v>
      </c>
    </row>
    <row r="19" spans="1:9" x14ac:dyDescent="0.25">
      <c r="B19" s="9" t="s">
        <v>11</v>
      </c>
      <c r="C19" s="12" t="str">
        <f>VLOOKUP(VLOOKUP(VLOOKUP(VLOOKUP(B19,Table1[#All],2,0),Table2[#All],2,0),Table3[#All],3,0),Table4[#All],3,0)</f>
        <v>4 Year</v>
      </c>
      <c r="H19" s="9" t="s">
        <v>11</v>
      </c>
      <c r="I19" s="12" t="str">
        <f>VLOOKUP(VLOOKUP(H19,Table1[#All],2,0),Table2[#All],2,0)</f>
        <v>Dr. Anupama Sharma</v>
      </c>
    </row>
    <row r="23" spans="1:9" x14ac:dyDescent="0.25">
      <c r="A23" s="27" t="s">
        <v>70</v>
      </c>
      <c r="B23" s="27"/>
      <c r="C23" s="27"/>
      <c r="D23" s="27"/>
    </row>
    <row r="24" spans="1:9" x14ac:dyDescent="0.25">
      <c r="B24" s="6" t="s">
        <v>1</v>
      </c>
      <c r="C24" s="8" t="s">
        <v>6</v>
      </c>
    </row>
    <row r="25" spans="1:9" x14ac:dyDescent="0.25">
      <c r="B25" s="9" t="s">
        <v>22</v>
      </c>
      <c r="C25" s="12" t="str">
        <f>VLOOKUP(VLOOKUP(B25,Table2[#All],2,0),Table3[#All],3,0)</f>
        <v>Software Engineering</v>
      </c>
    </row>
  </sheetData>
  <mergeCells count="4">
    <mergeCell ref="A23:D23"/>
    <mergeCell ref="A17:D17"/>
    <mergeCell ref="G17:I17"/>
    <mergeCell ref="D1:I2"/>
  </mergeCells>
  <conditionalFormatting sqref="Q1:Q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:R104857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B2E5-EBAD-43A9-8AC3-94E316DA8EB9}">
  <dimension ref="A1:I37"/>
  <sheetViews>
    <sheetView tabSelected="1" workbookViewId="0">
      <selection activeCell="F9" sqref="F9"/>
    </sheetView>
  </sheetViews>
  <sheetFormatPr defaultRowHeight="15" x14ac:dyDescent="0.25"/>
  <cols>
    <col min="1" max="1" width="16.5703125" customWidth="1"/>
    <col min="2" max="2" width="11.5703125" bestFit="1" customWidth="1"/>
    <col min="3" max="3" width="17.28515625" bestFit="1" customWidth="1"/>
    <col min="4" max="5" width="22.5703125" bestFit="1" customWidth="1"/>
    <col min="6" max="6" width="36" bestFit="1" customWidth="1"/>
    <col min="7" max="7" width="19.140625" bestFit="1" customWidth="1"/>
    <col min="8" max="8" width="27.5703125" bestFit="1" customWidth="1"/>
    <col min="9" max="9" width="19.85546875" bestFit="1" customWidth="1"/>
    <col min="10" max="10" width="19.5703125" bestFit="1" customWidth="1"/>
  </cols>
  <sheetData>
    <row r="1" spans="1:9" x14ac:dyDescent="0.25">
      <c r="D1" s="30" t="s">
        <v>72</v>
      </c>
      <c r="E1" s="30"/>
      <c r="F1" s="30"/>
    </row>
    <row r="2" spans="1:9" x14ac:dyDescent="0.25">
      <c r="D2" s="30"/>
      <c r="E2" s="30"/>
      <c r="F2" s="30"/>
    </row>
    <row r="4" spans="1:9" x14ac:dyDescent="0.25">
      <c r="A4" s="22" t="s">
        <v>0</v>
      </c>
      <c r="B4" s="23" t="s">
        <v>9</v>
      </c>
      <c r="C4" s="21" t="s">
        <v>10</v>
      </c>
      <c r="D4" s="23" t="s">
        <v>11</v>
      </c>
      <c r="E4" s="21" t="s">
        <v>12</v>
      </c>
      <c r="F4" s="23" t="s">
        <v>13</v>
      </c>
      <c r="G4" s="21" t="s">
        <v>14</v>
      </c>
      <c r="H4" s="23" t="s">
        <v>15</v>
      </c>
      <c r="I4" s="21" t="s">
        <v>16</v>
      </c>
    </row>
    <row r="5" spans="1:9" x14ac:dyDescent="0.25">
      <c r="A5" s="22" t="s">
        <v>1</v>
      </c>
      <c r="B5" s="24" t="s">
        <v>17</v>
      </c>
      <c r="C5" s="2" t="s">
        <v>18</v>
      </c>
      <c r="D5" s="24" t="s">
        <v>19</v>
      </c>
      <c r="E5" s="2" t="s">
        <v>20</v>
      </c>
      <c r="F5" s="24" t="s">
        <v>21</v>
      </c>
      <c r="G5" s="2" t="s">
        <v>22</v>
      </c>
      <c r="H5" s="24" t="s">
        <v>23</v>
      </c>
      <c r="I5" s="2" t="s">
        <v>24</v>
      </c>
    </row>
    <row r="6" spans="1:9" x14ac:dyDescent="0.25">
      <c r="A6" s="22" t="s">
        <v>2</v>
      </c>
      <c r="B6" s="24" t="s">
        <v>25</v>
      </c>
      <c r="C6" s="2" t="s">
        <v>26</v>
      </c>
      <c r="D6" s="24" t="s">
        <v>27</v>
      </c>
      <c r="E6" s="2" t="s">
        <v>28</v>
      </c>
      <c r="F6" s="24" t="s">
        <v>29</v>
      </c>
      <c r="G6" s="2" t="s">
        <v>30</v>
      </c>
      <c r="H6" s="24" t="s">
        <v>31</v>
      </c>
      <c r="I6" s="2" t="s">
        <v>32</v>
      </c>
    </row>
    <row r="11" spans="1:9" x14ac:dyDescent="0.25">
      <c r="A11" s="22" t="s">
        <v>3</v>
      </c>
      <c r="B11" s="23" t="s">
        <v>17</v>
      </c>
      <c r="C11" s="21" t="s">
        <v>18</v>
      </c>
      <c r="D11" s="23" t="s">
        <v>19</v>
      </c>
      <c r="E11" s="21" t="s">
        <v>20</v>
      </c>
      <c r="F11" s="23" t="s">
        <v>21</v>
      </c>
      <c r="G11" s="21" t="s">
        <v>22</v>
      </c>
      <c r="H11" s="23" t="s">
        <v>23</v>
      </c>
      <c r="I11" s="21" t="s">
        <v>24</v>
      </c>
    </row>
    <row r="12" spans="1:9" x14ac:dyDescent="0.25">
      <c r="A12" s="22" t="s">
        <v>4</v>
      </c>
      <c r="B12" s="24" t="s">
        <v>33</v>
      </c>
      <c r="C12" s="2" t="s">
        <v>34</v>
      </c>
      <c r="D12" s="24" t="s">
        <v>35</v>
      </c>
      <c r="E12" s="2" t="s">
        <v>36</v>
      </c>
      <c r="F12" s="24" t="s">
        <v>37</v>
      </c>
      <c r="G12" s="2" t="s">
        <v>38</v>
      </c>
      <c r="H12" s="24" t="s">
        <v>39</v>
      </c>
      <c r="I12" s="2" t="s">
        <v>40</v>
      </c>
    </row>
    <row r="15" spans="1:9" x14ac:dyDescent="0.25">
      <c r="A15" s="22" t="s">
        <v>4</v>
      </c>
      <c r="B15" s="24" t="s">
        <v>33</v>
      </c>
      <c r="C15" s="2" t="s">
        <v>34</v>
      </c>
      <c r="D15" s="24" t="s">
        <v>35</v>
      </c>
      <c r="E15" s="2" t="s">
        <v>36</v>
      </c>
      <c r="F15" s="24" t="s">
        <v>37</v>
      </c>
      <c r="G15" s="2" t="s">
        <v>38</v>
      </c>
      <c r="H15" s="24" t="s">
        <v>39</v>
      </c>
      <c r="I15" s="2" t="s">
        <v>40</v>
      </c>
    </row>
    <row r="16" spans="1:9" x14ac:dyDescent="0.25">
      <c r="A16" s="22" t="s">
        <v>5</v>
      </c>
      <c r="B16" s="24" t="s">
        <v>41</v>
      </c>
      <c r="C16" s="2" t="s">
        <v>42</v>
      </c>
      <c r="D16" s="24" t="s">
        <v>43</v>
      </c>
      <c r="E16" s="2" t="s">
        <v>44</v>
      </c>
      <c r="F16" s="24" t="s">
        <v>45</v>
      </c>
      <c r="G16" s="2" t="s">
        <v>46</v>
      </c>
      <c r="H16" s="24" t="s">
        <v>47</v>
      </c>
      <c r="I16" s="21" t="s">
        <v>56</v>
      </c>
    </row>
    <row r="17" spans="1:9" x14ac:dyDescent="0.25">
      <c r="A17" s="22" t="s">
        <v>6</v>
      </c>
      <c r="B17" s="23" t="s">
        <v>48</v>
      </c>
      <c r="C17" s="21" t="s">
        <v>49</v>
      </c>
      <c r="D17" s="23" t="s">
        <v>50</v>
      </c>
      <c r="E17" s="21" t="s">
        <v>51</v>
      </c>
      <c r="F17" s="23" t="s">
        <v>52</v>
      </c>
      <c r="G17" s="21" t="s">
        <v>53</v>
      </c>
      <c r="H17" s="23" t="s">
        <v>54</v>
      </c>
      <c r="I17" s="21" t="s">
        <v>55</v>
      </c>
    </row>
    <row r="21" spans="1:9" x14ac:dyDescent="0.25">
      <c r="A21" s="22" t="s">
        <v>6</v>
      </c>
      <c r="B21" s="23" t="s">
        <v>48</v>
      </c>
      <c r="C21" s="21" t="s">
        <v>49</v>
      </c>
      <c r="D21" s="23" t="s">
        <v>50</v>
      </c>
      <c r="E21" s="21" t="s">
        <v>51</v>
      </c>
      <c r="F21" s="23" t="s">
        <v>52</v>
      </c>
      <c r="G21" s="21" t="s">
        <v>53</v>
      </c>
      <c r="H21" s="23" t="s">
        <v>54</v>
      </c>
      <c r="I21" s="21" t="s">
        <v>55</v>
      </c>
    </row>
    <row r="22" spans="1:9" x14ac:dyDescent="0.25">
      <c r="A22" s="22" t="s">
        <v>7</v>
      </c>
      <c r="B22" s="25">
        <v>50000</v>
      </c>
      <c r="C22" s="17">
        <v>45000</v>
      </c>
      <c r="D22" s="25">
        <v>43000</v>
      </c>
      <c r="E22" s="17">
        <v>63000</v>
      </c>
      <c r="F22" s="25">
        <v>75000</v>
      </c>
      <c r="G22" s="17">
        <v>65000</v>
      </c>
      <c r="H22" s="25">
        <v>72000</v>
      </c>
      <c r="I22" s="17">
        <v>45300</v>
      </c>
    </row>
    <row r="23" spans="1:9" x14ac:dyDescent="0.25">
      <c r="A23" s="22" t="s">
        <v>8</v>
      </c>
      <c r="B23" s="23" t="s">
        <v>57</v>
      </c>
      <c r="C23" s="21" t="s">
        <v>58</v>
      </c>
      <c r="D23" s="23" t="s">
        <v>59</v>
      </c>
      <c r="E23" s="21" t="s">
        <v>60</v>
      </c>
      <c r="F23" s="23" t="s">
        <v>59</v>
      </c>
      <c r="G23" s="21" t="s">
        <v>61</v>
      </c>
      <c r="H23" s="23" t="s">
        <v>57</v>
      </c>
      <c r="I23" s="21" t="s">
        <v>59</v>
      </c>
    </row>
    <row r="26" spans="1:9" x14ac:dyDescent="0.25">
      <c r="C26" s="27" t="s">
        <v>67</v>
      </c>
      <c r="D26" s="27"/>
      <c r="F26" s="29" t="s">
        <v>66</v>
      </c>
      <c r="G26" s="29"/>
    </row>
    <row r="27" spans="1:9" x14ac:dyDescent="0.25">
      <c r="C27" s="26" t="s">
        <v>62</v>
      </c>
      <c r="D27" s="21" t="s">
        <v>9</v>
      </c>
      <c r="F27" s="21" t="s">
        <v>62</v>
      </c>
      <c r="G27" s="21" t="s">
        <v>68</v>
      </c>
    </row>
    <row r="28" spans="1:9" x14ac:dyDescent="0.25">
      <c r="C28" s="26" t="s">
        <v>8</v>
      </c>
      <c r="D28" s="21" t="str">
        <f>HLOOKUP(HLOOKUP(HLOOKUP(HLOOKUP(D27,A4:I6,2,0),A11:I12,2,0),A15:I17,3,0),A21:I23,3,0)</f>
        <v>3 Year</v>
      </c>
      <c r="F28" s="21"/>
      <c r="G28" s="21"/>
    </row>
    <row r="29" spans="1:9" x14ac:dyDescent="0.25">
      <c r="F29" s="21" t="s">
        <v>10</v>
      </c>
      <c r="G29" s="21" t="str">
        <f>HLOOKUP(HLOOKUP(F29,A4:I6,2,0),A11:I12,2,0)</f>
        <v>Prof. Mahesh Kapoor</v>
      </c>
    </row>
    <row r="33" spans="3:5" x14ac:dyDescent="0.25">
      <c r="C33" s="27" t="s">
        <v>69</v>
      </c>
      <c r="D33" s="27"/>
      <c r="E33" s="27"/>
    </row>
    <row r="34" spans="3:5" x14ac:dyDescent="0.25">
      <c r="D34" s="21" t="s">
        <v>1</v>
      </c>
      <c r="E34" s="21" t="s">
        <v>6</v>
      </c>
    </row>
    <row r="35" spans="3:5" x14ac:dyDescent="0.25">
      <c r="D35" s="21"/>
      <c r="E35" s="21"/>
    </row>
    <row r="36" spans="3:5" x14ac:dyDescent="0.25">
      <c r="D36" s="21" t="s">
        <v>22</v>
      </c>
      <c r="E36" s="21" t="str">
        <f>HLOOKUP(HLOOKUP(D36,A11:I12,2,0),A15:I17,3,0)</f>
        <v>Software Engineering</v>
      </c>
    </row>
    <row r="37" spans="3:5" x14ac:dyDescent="0.25">
      <c r="D37" s="21"/>
      <c r="E37" s="21"/>
    </row>
  </sheetData>
  <mergeCells count="4">
    <mergeCell ref="C26:D26"/>
    <mergeCell ref="F26:G26"/>
    <mergeCell ref="D1:F2"/>
    <mergeCell ref="C33:E33"/>
  </mergeCells>
  <conditionalFormatting sqref="B22:I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Yadav</dc:creator>
  <cp:lastModifiedBy>Sanskar Yadav</cp:lastModifiedBy>
  <dcterms:created xsi:type="dcterms:W3CDTF">2025-11-11T04:15:34Z</dcterms:created>
  <dcterms:modified xsi:type="dcterms:W3CDTF">2025-11-12T07:03:04Z</dcterms:modified>
</cp:coreProperties>
</file>